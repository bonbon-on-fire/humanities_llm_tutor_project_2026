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iled grading" sheetId="1" state="visible" r:id="rId1"/>
    <sheet name="faizan grading" sheetId="2" state="visible" r:id="rId2"/>
    <sheet name="romain grading" sheetId="3" state="visible" r:id="rId3"/>
    <sheet name="nishita grad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1F1F"/>
        <bgColor rgb="001F1F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2" customWidth="1" min="17" max="17"/>
    <col hidden="1" width="13" customWidth="1" min="18" max="18"/>
  </cols>
  <sheetData>
    <row r="1">
      <c r="A1" s="1" t="inlineStr">
        <is>
          <t>persona type</t>
        </is>
      </c>
      <c r="B1" s="1" t="inlineStr">
        <is>
          <t>transcript number</t>
        </is>
      </c>
      <c r="C1" s="1" t="inlineStr">
        <is>
          <t>grader name</t>
        </is>
      </c>
      <c r="D1" s="1" t="inlineStr">
        <is>
          <t>1.1.A</t>
        </is>
      </c>
      <c r="E1" s="1" t="inlineStr">
        <is>
          <t>1.1.B</t>
        </is>
      </c>
      <c r="F1" s="1" t="inlineStr">
        <is>
          <t>1.1.C</t>
        </is>
      </c>
      <c r="G1" s="1" t="inlineStr">
        <is>
          <t>1.2.A</t>
        </is>
      </c>
      <c r="H1" s="1" t="inlineStr">
        <is>
          <t>1.2.B</t>
        </is>
      </c>
      <c r="I1" s="1" t="inlineStr">
        <is>
          <t>1.3.A</t>
        </is>
      </c>
      <c r="J1" s="1" t="inlineStr">
        <is>
          <t>1.3.B</t>
        </is>
      </c>
      <c r="K1" s="1" t="inlineStr">
        <is>
          <t>2.1.A</t>
        </is>
      </c>
      <c r="L1" s="1" t="inlineStr">
        <is>
          <t>2.2.A</t>
        </is>
      </c>
      <c r="M1" s="1" t="inlineStr">
        <is>
          <t>2.2.B</t>
        </is>
      </c>
      <c r="N1" s="1" t="inlineStr">
        <is>
          <t>3.1.A</t>
        </is>
      </c>
      <c r="O1" s="1" t="inlineStr">
        <is>
          <t>3.2.A</t>
        </is>
      </c>
      <c r="P1" s="1" t="inlineStr">
        <is>
          <t>3.2.B</t>
        </is>
      </c>
      <c r="Q1" s="1" t="inlineStr">
        <is>
          <t>total score</t>
        </is>
      </c>
      <c r="R1" t="inlineStr">
        <is>
          <t>_key</t>
        </is>
      </c>
    </row>
    <row r="2">
      <c r="A2" t="inlineStr">
        <is>
          <t>chaotic</t>
        </is>
      </c>
      <c r="B2" t="inlineStr">
        <is>
          <t>0001</t>
        </is>
      </c>
      <c r="C2" t="inlineStr">
        <is>
          <t>faizan</t>
        </is>
      </c>
      <c r="D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E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F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G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H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I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J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K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L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M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N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O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P2">
        <f>IF($C2="faizan",IFERROR(INDEX('faizan grading'!$E:$Q,MATCH($A2&amp;"|"&amp;$B2,'faizan grading'!$S:$S,0),COLUMN()-3),""),IF($C2="romain",IFERROR(INDEX('romain grading'!$E:$Q,MATCH($A2&amp;"|"&amp;$B2,'romain grading'!$S:$S,0),COLUMN()-3),""),IF($C2="nishita",IFERROR(INDEX('nishita grading'!$E:$Q,MATCH($A2&amp;"|"&amp;$B2,'nishita grading'!$S:$S,0),COLUMN()-3),""),"")))</f>
        <v/>
      </c>
      <c r="Q2">
        <f>42-SUM(D2:P2)</f>
        <v/>
      </c>
      <c r="R2">
        <f>A2&amp;"|"&amp;B2</f>
        <v/>
      </c>
    </row>
    <row r="3">
      <c r="A3" t="inlineStr">
        <is>
          <t>chaotic</t>
        </is>
      </c>
      <c r="B3" t="inlineStr">
        <is>
          <t>0001</t>
        </is>
      </c>
      <c r="C3" t="inlineStr">
        <is>
          <t>romain</t>
        </is>
      </c>
      <c r="D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E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F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G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H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I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J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K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L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M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N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O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P3">
        <f>IF($C3="faizan",IFERROR(INDEX('faizan grading'!$E:$Q,MATCH($A3&amp;"|"&amp;$B3,'faizan grading'!$S:$S,0),COLUMN()-3),""),IF($C3="romain",IFERROR(INDEX('romain grading'!$E:$Q,MATCH($A3&amp;"|"&amp;$B3,'romain grading'!$S:$S,0),COLUMN()-3),""),IF($C3="nishita",IFERROR(INDEX('nishita grading'!$E:$Q,MATCH($A3&amp;"|"&amp;$B3,'nishita grading'!$S:$S,0),COLUMN()-3),""),"")))</f>
        <v/>
      </c>
      <c r="Q3">
        <f>42-SUM(D3:P3)</f>
        <v/>
      </c>
      <c r="R3">
        <f>A3&amp;"|"&amp;B3</f>
        <v/>
      </c>
    </row>
    <row r="4">
      <c r="A4" t="inlineStr">
        <is>
          <t>chaotic</t>
        </is>
      </c>
      <c r="B4" t="inlineStr">
        <is>
          <t>0001</t>
        </is>
      </c>
      <c r="C4" t="inlineStr">
        <is>
          <t>nishita</t>
        </is>
      </c>
      <c r="D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E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F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G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H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I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J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K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L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M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N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O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P4">
        <f>IF($C4="faizan",IFERROR(INDEX('faizan grading'!$E:$Q,MATCH($A4&amp;"|"&amp;$B4,'faizan grading'!$S:$S,0),COLUMN()-3),""),IF($C4="romain",IFERROR(INDEX('romain grading'!$E:$Q,MATCH($A4&amp;"|"&amp;$B4,'romain grading'!$S:$S,0),COLUMN()-3),""),IF($C4="nishita",IFERROR(INDEX('nishita grading'!$E:$Q,MATCH($A4&amp;"|"&amp;$B4,'nishita grading'!$S:$S,0),COLUMN()-3),""),"")))</f>
        <v/>
      </c>
      <c r="Q4">
        <f>42-SUM(D4:P4)</f>
        <v/>
      </c>
      <c r="R4">
        <f>A4&amp;"|"&amp;B4</f>
        <v/>
      </c>
    </row>
    <row r="5">
      <c r="A5" t="inlineStr">
        <is>
          <t>chaotic</t>
        </is>
      </c>
      <c r="B5" t="inlineStr">
        <is>
          <t>0001</t>
        </is>
      </c>
      <c r="C5" t="inlineStr">
        <is>
          <t>claude</t>
        </is>
      </c>
      <c r="D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E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F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G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H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I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J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K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L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M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N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O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P5">
        <f>IF($C5="faizan",IFERROR(INDEX('faizan grading'!$E:$Q,MATCH($A5&amp;"|"&amp;$B5,'faizan grading'!$S:$S,0),COLUMN()-3),""),IF($C5="romain",IFERROR(INDEX('romain grading'!$E:$Q,MATCH($A5&amp;"|"&amp;$B5,'romain grading'!$S:$S,0),COLUMN()-3),""),IF($C5="nishita",IFERROR(INDEX('nishita grading'!$E:$Q,MATCH($A5&amp;"|"&amp;$B5,'nishita grading'!$S:$S,0),COLUMN()-3),""),"")))</f>
        <v/>
      </c>
      <c r="Q5">
        <f>42-SUM(D5:P5)</f>
        <v/>
      </c>
      <c r="R5">
        <f>A5&amp;"|"&amp;B5</f>
        <v/>
      </c>
    </row>
    <row r="6">
      <c r="A6" t="inlineStr">
        <is>
          <t>chaotic</t>
        </is>
      </c>
      <c r="B6" t="inlineStr">
        <is>
          <t>0002</t>
        </is>
      </c>
      <c r="C6" t="inlineStr">
        <is>
          <t>faizan</t>
        </is>
      </c>
      <c r="D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E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F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G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H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I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J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K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L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M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N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O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P6">
        <f>IF($C6="faizan",IFERROR(INDEX('faizan grading'!$E:$Q,MATCH($A6&amp;"|"&amp;$B6,'faizan grading'!$S:$S,0),COLUMN()-3),""),IF($C6="romain",IFERROR(INDEX('romain grading'!$E:$Q,MATCH($A6&amp;"|"&amp;$B6,'romain grading'!$S:$S,0),COLUMN()-3),""),IF($C6="nishita",IFERROR(INDEX('nishita grading'!$E:$Q,MATCH($A6&amp;"|"&amp;$B6,'nishita grading'!$S:$S,0),COLUMN()-3),""),"")))</f>
        <v/>
      </c>
      <c r="Q6">
        <f>42-SUM(D6:P6)</f>
        <v/>
      </c>
      <c r="R6">
        <f>A6&amp;"|"&amp;B6</f>
        <v/>
      </c>
    </row>
    <row r="7">
      <c r="A7" t="inlineStr">
        <is>
          <t>chaotic</t>
        </is>
      </c>
      <c r="B7" t="inlineStr">
        <is>
          <t>0002</t>
        </is>
      </c>
      <c r="C7" t="inlineStr">
        <is>
          <t>romain</t>
        </is>
      </c>
      <c r="D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E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F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G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H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I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J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K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L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M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N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O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P7">
        <f>IF($C7="faizan",IFERROR(INDEX('faizan grading'!$E:$Q,MATCH($A7&amp;"|"&amp;$B7,'faizan grading'!$S:$S,0),COLUMN()-3),""),IF($C7="romain",IFERROR(INDEX('romain grading'!$E:$Q,MATCH($A7&amp;"|"&amp;$B7,'romain grading'!$S:$S,0),COLUMN()-3),""),IF($C7="nishita",IFERROR(INDEX('nishita grading'!$E:$Q,MATCH($A7&amp;"|"&amp;$B7,'nishita grading'!$S:$S,0),COLUMN()-3),""),"")))</f>
        <v/>
      </c>
      <c r="Q7">
        <f>42-SUM(D7:P7)</f>
        <v/>
      </c>
      <c r="R7">
        <f>A7&amp;"|"&amp;B7</f>
        <v/>
      </c>
    </row>
    <row r="8">
      <c r="A8" t="inlineStr">
        <is>
          <t>chaotic</t>
        </is>
      </c>
      <c r="B8" t="inlineStr">
        <is>
          <t>0002</t>
        </is>
      </c>
      <c r="C8" t="inlineStr">
        <is>
          <t>nishita</t>
        </is>
      </c>
      <c r="D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E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F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G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H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I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J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K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L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M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N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O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P8">
        <f>IF($C8="faizan",IFERROR(INDEX('faizan grading'!$E:$Q,MATCH($A8&amp;"|"&amp;$B8,'faizan grading'!$S:$S,0),COLUMN()-3),""),IF($C8="romain",IFERROR(INDEX('romain grading'!$E:$Q,MATCH($A8&amp;"|"&amp;$B8,'romain grading'!$S:$S,0),COLUMN()-3),""),IF($C8="nishita",IFERROR(INDEX('nishita grading'!$E:$Q,MATCH($A8&amp;"|"&amp;$B8,'nishita grading'!$S:$S,0),COLUMN()-3),""),"")))</f>
        <v/>
      </c>
      <c r="Q8">
        <f>42-SUM(D8:P8)</f>
        <v/>
      </c>
      <c r="R8">
        <f>A8&amp;"|"&amp;B8</f>
        <v/>
      </c>
    </row>
    <row r="9">
      <c r="A9" t="inlineStr">
        <is>
          <t>chaotic</t>
        </is>
      </c>
      <c r="B9" t="inlineStr">
        <is>
          <t>0002</t>
        </is>
      </c>
      <c r="C9" t="inlineStr">
        <is>
          <t>claude</t>
        </is>
      </c>
      <c r="D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E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F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G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H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I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J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K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L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M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N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O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P9">
        <f>IF($C9="faizan",IFERROR(INDEX('faizan grading'!$E:$Q,MATCH($A9&amp;"|"&amp;$B9,'faizan grading'!$S:$S,0),COLUMN()-3),""),IF($C9="romain",IFERROR(INDEX('romain grading'!$E:$Q,MATCH($A9&amp;"|"&amp;$B9,'romain grading'!$S:$S,0),COLUMN()-3),""),IF($C9="nishita",IFERROR(INDEX('nishita grading'!$E:$Q,MATCH($A9&amp;"|"&amp;$B9,'nishita grading'!$S:$S,0),COLUMN()-3),""),"")))</f>
        <v/>
      </c>
      <c r="Q9">
        <f>42-SUM(D9:P9)</f>
        <v/>
      </c>
      <c r="R9">
        <f>A9&amp;"|"&amp;B9</f>
        <v/>
      </c>
    </row>
    <row r="10">
      <c r="A10" t="inlineStr">
        <is>
          <t>clueless</t>
        </is>
      </c>
      <c r="B10" t="inlineStr">
        <is>
          <t>0001</t>
        </is>
      </c>
      <c r="C10" t="inlineStr">
        <is>
          <t>faizan</t>
        </is>
      </c>
      <c r="D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E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F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G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H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I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J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K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L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M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N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O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P10">
        <f>IF($C10="faizan",IFERROR(INDEX('faizan grading'!$E:$Q,MATCH($A10&amp;"|"&amp;$B10,'faizan grading'!$S:$S,0),COLUMN()-3),""),IF($C10="romain",IFERROR(INDEX('romain grading'!$E:$Q,MATCH($A10&amp;"|"&amp;$B10,'romain grading'!$S:$S,0),COLUMN()-3),""),IF($C10="nishita",IFERROR(INDEX('nishita grading'!$E:$Q,MATCH($A10&amp;"|"&amp;$B10,'nishita grading'!$S:$S,0),COLUMN()-3),""),"")))</f>
        <v/>
      </c>
      <c r="Q10">
        <f>42-SUM(D10:P10)</f>
        <v/>
      </c>
      <c r="R10">
        <f>A10&amp;"|"&amp;B10</f>
        <v/>
      </c>
    </row>
    <row r="11">
      <c r="A11" t="inlineStr">
        <is>
          <t>clueless</t>
        </is>
      </c>
      <c r="B11" t="inlineStr">
        <is>
          <t>0001</t>
        </is>
      </c>
      <c r="C11" t="inlineStr">
        <is>
          <t>romain</t>
        </is>
      </c>
      <c r="D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E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F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G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H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I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J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K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L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M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N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O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P11">
        <f>IF($C11="faizan",IFERROR(INDEX('faizan grading'!$E:$Q,MATCH($A11&amp;"|"&amp;$B11,'faizan grading'!$S:$S,0),COLUMN()-3),""),IF($C11="romain",IFERROR(INDEX('romain grading'!$E:$Q,MATCH($A11&amp;"|"&amp;$B11,'romain grading'!$S:$S,0),COLUMN()-3),""),IF($C11="nishita",IFERROR(INDEX('nishita grading'!$E:$Q,MATCH($A11&amp;"|"&amp;$B11,'nishita grading'!$S:$S,0),COLUMN()-3),""),"")))</f>
        <v/>
      </c>
      <c r="Q11">
        <f>42-SUM(D11:P11)</f>
        <v/>
      </c>
      <c r="R11">
        <f>A11&amp;"|"&amp;B11</f>
        <v/>
      </c>
    </row>
    <row r="12">
      <c r="A12" t="inlineStr">
        <is>
          <t>clueless</t>
        </is>
      </c>
      <c r="B12" t="inlineStr">
        <is>
          <t>0001</t>
        </is>
      </c>
      <c r="C12" t="inlineStr">
        <is>
          <t>nishita</t>
        </is>
      </c>
      <c r="D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E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F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G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H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I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J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K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L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M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N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O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P12">
        <f>IF($C12="faizan",IFERROR(INDEX('faizan grading'!$E:$Q,MATCH($A12&amp;"|"&amp;$B12,'faizan grading'!$S:$S,0),COLUMN()-3),""),IF($C12="romain",IFERROR(INDEX('romain grading'!$E:$Q,MATCH($A12&amp;"|"&amp;$B12,'romain grading'!$S:$S,0),COLUMN()-3),""),IF($C12="nishita",IFERROR(INDEX('nishita grading'!$E:$Q,MATCH($A12&amp;"|"&amp;$B12,'nishita grading'!$S:$S,0),COLUMN()-3),""),"")))</f>
        <v/>
      </c>
      <c r="Q12">
        <f>42-SUM(D12:P12)</f>
        <v/>
      </c>
      <c r="R12">
        <f>A12&amp;"|"&amp;B12</f>
        <v/>
      </c>
    </row>
    <row r="13">
      <c r="A13" t="inlineStr">
        <is>
          <t>clueless</t>
        </is>
      </c>
      <c r="B13" t="inlineStr">
        <is>
          <t>0001</t>
        </is>
      </c>
      <c r="C13" t="inlineStr">
        <is>
          <t>claude</t>
        </is>
      </c>
      <c r="D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E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F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G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H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I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J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K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L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M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N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O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P13">
        <f>IF($C13="faizan",IFERROR(INDEX('faizan grading'!$E:$Q,MATCH($A13&amp;"|"&amp;$B13,'faizan grading'!$S:$S,0),COLUMN()-3),""),IF($C13="romain",IFERROR(INDEX('romain grading'!$E:$Q,MATCH($A13&amp;"|"&amp;$B13,'romain grading'!$S:$S,0),COLUMN()-3),""),IF($C13="nishita",IFERROR(INDEX('nishita grading'!$E:$Q,MATCH($A13&amp;"|"&amp;$B13,'nishita grading'!$S:$S,0),COLUMN()-3),""),"")))</f>
        <v/>
      </c>
      <c r="Q13">
        <f>42-SUM(D13:P13)</f>
        <v/>
      </c>
      <c r="R13">
        <f>A13&amp;"|"&amp;B13</f>
        <v/>
      </c>
    </row>
    <row r="14">
      <c r="A14" t="inlineStr">
        <is>
          <t>clueless</t>
        </is>
      </c>
      <c r="B14" t="inlineStr">
        <is>
          <t>0002</t>
        </is>
      </c>
      <c r="C14" t="inlineStr">
        <is>
          <t>faizan</t>
        </is>
      </c>
      <c r="D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E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F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G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H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I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J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K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L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M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N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O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P14">
        <f>IF($C14="faizan",IFERROR(INDEX('faizan grading'!$E:$Q,MATCH($A14&amp;"|"&amp;$B14,'faizan grading'!$S:$S,0),COLUMN()-3),""),IF($C14="romain",IFERROR(INDEX('romain grading'!$E:$Q,MATCH($A14&amp;"|"&amp;$B14,'romain grading'!$S:$S,0),COLUMN()-3),""),IF($C14="nishita",IFERROR(INDEX('nishita grading'!$E:$Q,MATCH($A14&amp;"|"&amp;$B14,'nishita grading'!$S:$S,0),COLUMN()-3),""),"")))</f>
        <v/>
      </c>
      <c r="Q14">
        <f>42-SUM(D14:P14)</f>
        <v/>
      </c>
      <c r="R14">
        <f>A14&amp;"|"&amp;B14</f>
        <v/>
      </c>
    </row>
    <row r="15">
      <c r="A15" t="inlineStr">
        <is>
          <t>clueless</t>
        </is>
      </c>
      <c r="B15" t="inlineStr">
        <is>
          <t>0002</t>
        </is>
      </c>
      <c r="C15" t="inlineStr">
        <is>
          <t>romain</t>
        </is>
      </c>
      <c r="D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E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F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G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H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I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J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K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L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M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N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O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P15">
        <f>IF($C15="faizan",IFERROR(INDEX('faizan grading'!$E:$Q,MATCH($A15&amp;"|"&amp;$B15,'faizan grading'!$S:$S,0),COLUMN()-3),""),IF($C15="romain",IFERROR(INDEX('romain grading'!$E:$Q,MATCH($A15&amp;"|"&amp;$B15,'romain grading'!$S:$S,0),COLUMN()-3),""),IF($C15="nishita",IFERROR(INDEX('nishita grading'!$E:$Q,MATCH($A15&amp;"|"&amp;$B15,'nishita grading'!$S:$S,0),COLUMN()-3),""),"")))</f>
        <v/>
      </c>
      <c r="Q15">
        <f>42-SUM(D15:P15)</f>
        <v/>
      </c>
      <c r="R15">
        <f>A15&amp;"|"&amp;B15</f>
        <v/>
      </c>
    </row>
    <row r="16">
      <c r="A16" t="inlineStr">
        <is>
          <t>clueless</t>
        </is>
      </c>
      <c r="B16" t="inlineStr">
        <is>
          <t>0002</t>
        </is>
      </c>
      <c r="C16" t="inlineStr">
        <is>
          <t>nishita</t>
        </is>
      </c>
      <c r="D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E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F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G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H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I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J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K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L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M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N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O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P16">
        <f>IF($C16="faizan",IFERROR(INDEX('faizan grading'!$E:$Q,MATCH($A16&amp;"|"&amp;$B16,'faizan grading'!$S:$S,0),COLUMN()-3),""),IF($C16="romain",IFERROR(INDEX('romain grading'!$E:$Q,MATCH($A16&amp;"|"&amp;$B16,'romain grading'!$S:$S,0),COLUMN()-3),""),IF($C16="nishita",IFERROR(INDEX('nishita grading'!$E:$Q,MATCH($A16&amp;"|"&amp;$B16,'nishita grading'!$S:$S,0),COLUMN()-3),""),"")))</f>
        <v/>
      </c>
      <c r="Q16">
        <f>42-SUM(D16:P16)</f>
        <v/>
      </c>
      <c r="R16">
        <f>A16&amp;"|"&amp;B16</f>
        <v/>
      </c>
    </row>
    <row r="17">
      <c r="A17" t="inlineStr">
        <is>
          <t>clueless</t>
        </is>
      </c>
      <c r="B17" t="inlineStr">
        <is>
          <t>0002</t>
        </is>
      </c>
      <c r="C17" t="inlineStr">
        <is>
          <t>claude</t>
        </is>
      </c>
      <c r="D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E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F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G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H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I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J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K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L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M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N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O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P17">
        <f>IF($C17="faizan",IFERROR(INDEX('faizan grading'!$E:$Q,MATCH($A17&amp;"|"&amp;$B17,'faizan grading'!$S:$S,0),COLUMN()-3),""),IF($C17="romain",IFERROR(INDEX('romain grading'!$E:$Q,MATCH($A17&amp;"|"&amp;$B17,'romain grading'!$S:$S,0),COLUMN()-3),""),IF($C17="nishita",IFERROR(INDEX('nishita grading'!$E:$Q,MATCH($A17&amp;"|"&amp;$B17,'nishita grading'!$S:$S,0),COLUMN()-3),""),"")))</f>
        <v/>
      </c>
      <c r="Q17">
        <f>42-SUM(D17:P17)</f>
        <v/>
      </c>
      <c r="R17">
        <f>A17&amp;"|"&amp;B17</f>
        <v/>
      </c>
    </row>
    <row r="18">
      <c r="A18" t="inlineStr">
        <is>
          <t>cooperative</t>
        </is>
      </c>
      <c r="B18" t="inlineStr">
        <is>
          <t>0001</t>
        </is>
      </c>
      <c r="C18" t="inlineStr">
        <is>
          <t>faizan</t>
        </is>
      </c>
      <c r="D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E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F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G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H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I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J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K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L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M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N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O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P18">
        <f>IF($C18="faizan",IFERROR(INDEX('faizan grading'!$E:$Q,MATCH($A18&amp;"|"&amp;$B18,'faizan grading'!$S:$S,0),COLUMN()-3),""),IF($C18="romain",IFERROR(INDEX('romain grading'!$E:$Q,MATCH($A18&amp;"|"&amp;$B18,'romain grading'!$S:$S,0),COLUMN()-3),""),IF($C18="nishita",IFERROR(INDEX('nishita grading'!$E:$Q,MATCH($A18&amp;"|"&amp;$B18,'nishita grading'!$S:$S,0),COLUMN()-3),""),"")))</f>
        <v/>
      </c>
      <c r="Q18">
        <f>42-SUM(D18:P18)</f>
        <v/>
      </c>
      <c r="R18">
        <f>A18&amp;"|"&amp;B18</f>
        <v/>
      </c>
    </row>
    <row r="19">
      <c r="A19" t="inlineStr">
        <is>
          <t>cooperative</t>
        </is>
      </c>
      <c r="B19" t="inlineStr">
        <is>
          <t>0001</t>
        </is>
      </c>
      <c r="C19" t="inlineStr">
        <is>
          <t>romain</t>
        </is>
      </c>
      <c r="D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E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F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G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H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I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J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K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L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M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N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O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P19">
        <f>IF($C19="faizan",IFERROR(INDEX('faizan grading'!$E:$Q,MATCH($A19&amp;"|"&amp;$B19,'faizan grading'!$S:$S,0),COLUMN()-3),""),IF($C19="romain",IFERROR(INDEX('romain grading'!$E:$Q,MATCH($A19&amp;"|"&amp;$B19,'romain grading'!$S:$S,0),COLUMN()-3),""),IF($C19="nishita",IFERROR(INDEX('nishita grading'!$E:$Q,MATCH($A19&amp;"|"&amp;$B19,'nishita grading'!$S:$S,0),COLUMN()-3),""),"")))</f>
        <v/>
      </c>
      <c r="Q19">
        <f>42-SUM(D19:P19)</f>
        <v/>
      </c>
      <c r="R19">
        <f>A19&amp;"|"&amp;B19</f>
        <v/>
      </c>
    </row>
    <row r="20">
      <c r="A20" t="inlineStr">
        <is>
          <t>cooperative</t>
        </is>
      </c>
      <c r="B20" t="inlineStr">
        <is>
          <t>0001</t>
        </is>
      </c>
      <c r="C20" t="inlineStr">
        <is>
          <t>nishita</t>
        </is>
      </c>
      <c r="D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E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F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G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H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I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J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K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L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M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N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O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P20">
        <f>IF($C20="faizan",IFERROR(INDEX('faizan grading'!$E:$Q,MATCH($A20&amp;"|"&amp;$B20,'faizan grading'!$S:$S,0),COLUMN()-3),""),IF($C20="romain",IFERROR(INDEX('romain grading'!$E:$Q,MATCH($A20&amp;"|"&amp;$B20,'romain grading'!$S:$S,0),COLUMN()-3),""),IF($C20="nishita",IFERROR(INDEX('nishita grading'!$E:$Q,MATCH($A20&amp;"|"&amp;$B20,'nishita grading'!$S:$S,0),COLUMN()-3),""),"")))</f>
        <v/>
      </c>
      <c r="Q20">
        <f>42-SUM(D20:P20)</f>
        <v/>
      </c>
      <c r="R20">
        <f>A20&amp;"|"&amp;B20</f>
        <v/>
      </c>
    </row>
    <row r="21">
      <c r="A21" t="inlineStr">
        <is>
          <t>cooperative</t>
        </is>
      </c>
      <c r="B21" t="inlineStr">
        <is>
          <t>0001</t>
        </is>
      </c>
      <c r="C21" t="inlineStr">
        <is>
          <t>claude</t>
        </is>
      </c>
      <c r="D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E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F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G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H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I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J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K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L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M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N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O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P21">
        <f>IF($C21="faizan",IFERROR(INDEX('faizan grading'!$E:$Q,MATCH($A21&amp;"|"&amp;$B21,'faizan grading'!$S:$S,0),COLUMN()-3),""),IF($C21="romain",IFERROR(INDEX('romain grading'!$E:$Q,MATCH($A21&amp;"|"&amp;$B21,'romain grading'!$S:$S,0),COLUMN()-3),""),IF($C21="nishita",IFERROR(INDEX('nishita grading'!$E:$Q,MATCH($A21&amp;"|"&amp;$B21,'nishita grading'!$S:$S,0),COLUMN()-3),""),"")))</f>
        <v/>
      </c>
      <c r="Q21">
        <f>42-SUM(D21:P21)</f>
        <v/>
      </c>
      <c r="R21">
        <f>A21&amp;"|"&amp;B21</f>
        <v/>
      </c>
    </row>
    <row r="22">
      <c r="A22" t="inlineStr">
        <is>
          <t>cooperative</t>
        </is>
      </c>
      <c r="B22" t="inlineStr">
        <is>
          <t>0002</t>
        </is>
      </c>
      <c r="C22" t="inlineStr">
        <is>
          <t>faizan</t>
        </is>
      </c>
      <c r="D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E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F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G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H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I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J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K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L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M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N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O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P22">
        <f>IF($C22="faizan",IFERROR(INDEX('faizan grading'!$E:$Q,MATCH($A22&amp;"|"&amp;$B22,'faizan grading'!$S:$S,0),COLUMN()-3),""),IF($C22="romain",IFERROR(INDEX('romain grading'!$E:$Q,MATCH($A22&amp;"|"&amp;$B22,'romain grading'!$S:$S,0),COLUMN()-3),""),IF($C22="nishita",IFERROR(INDEX('nishita grading'!$E:$Q,MATCH($A22&amp;"|"&amp;$B22,'nishita grading'!$S:$S,0),COLUMN()-3),""),"")))</f>
        <v/>
      </c>
      <c r="Q22">
        <f>42-SUM(D22:P22)</f>
        <v/>
      </c>
      <c r="R22">
        <f>A22&amp;"|"&amp;B22</f>
        <v/>
      </c>
    </row>
    <row r="23">
      <c r="A23" t="inlineStr">
        <is>
          <t>cooperative</t>
        </is>
      </c>
      <c r="B23" t="inlineStr">
        <is>
          <t>0002</t>
        </is>
      </c>
      <c r="C23" t="inlineStr">
        <is>
          <t>romain</t>
        </is>
      </c>
      <c r="D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E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F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G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H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I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J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K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L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M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N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O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P23">
        <f>IF($C23="faizan",IFERROR(INDEX('faizan grading'!$E:$Q,MATCH($A23&amp;"|"&amp;$B23,'faizan grading'!$S:$S,0),COLUMN()-3),""),IF($C23="romain",IFERROR(INDEX('romain grading'!$E:$Q,MATCH($A23&amp;"|"&amp;$B23,'romain grading'!$S:$S,0),COLUMN()-3),""),IF($C23="nishita",IFERROR(INDEX('nishita grading'!$E:$Q,MATCH($A23&amp;"|"&amp;$B23,'nishita grading'!$S:$S,0),COLUMN()-3),""),"")))</f>
        <v/>
      </c>
      <c r="Q23">
        <f>42-SUM(D23:P23)</f>
        <v/>
      </c>
      <c r="R23">
        <f>A23&amp;"|"&amp;B23</f>
        <v/>
      </c>
    </row>
    <row r="24">
      <c r="A24" t="inlineStr">
        <is>
          <t>cooperative</t>
        </is>
      </c>
      <c r="B24" t="inlineStr">
        <is>
          <t>0002</t>
        </is>
      </c>
      <c r="C24" t="inlineStr">
        <is>
          <t>nishita</t>
        </is>
      </c>
      <c r="D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E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F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G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H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I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J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K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L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M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N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O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P24">
        <f>IF($C24="faizan",IFERROR(INDEX('faizan grading'!$E:$Q,MATCH($A24&amp;"|"&amp;$B24,'faizan grading'!$S:$S,0),COLUMN()-3),""),IF($C24="romain",IFERROR(INDEX('romain grading'!$E:$Q,MATCH($A24&amp;"|"&amp;$B24,'romain grading'!$S:$S,0),COLUMN()-3),""),IF($C24="nishita",IFERROR(INDEX('nishita grading'!$E:$Q,MATCH($A24&amp;"|"&amp;$B24,'nishita grading'!$S:$S,0),COLUMN()-3),""),"")))</f>
        <v/>
      </c>
      <c r="Q24">
        <f>42-SUM(D24:P24)</f>
        <v/>
      </c>
      <c r="R24">
        <f>A24&amp;"|"&amp;B24</f>
        <v/>
      </c>
    </row>
    <row r="25">
      <c r="A25" t="inlineStr">
        <is>
          <t>cooperative</t>
        </is>
      </c>
      <c r="B25" t="inlineStr">
        <is>
          <t>0002</t>
        </is>
      </c>
      <c r="C25" t="inlineStr">
        <is>
          <t>claude</t>
        </is>
      </c>
      <c r="D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E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F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G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H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I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J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K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L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M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N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O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P25">
        <f>IF($C25="faizan",IFERROR(INDEX('faizan grading'!$E:$Q,MATCH($A25&amp;"|"&amp;$B25,'faizan grading'!$S:$S,0),COLUMN()-3),""),IF($C25="romain",IFERROR(INDEX('romain grading'!$E:$Q,MATCH($A25&amp;"|"&amp;$B25,'romain grading'!$S:$S,0),COLUMN()-3),""),IF($C25="nishita",IFERROR(INDEX('nishita grading'!$E:$Q,MATCH($A25&amp;"|"&amp;$B25,'nishita grading'!$S:$S,0),COLUMN()-3),""),"")))</f>
        <v/>
      </c>
      <c r="Q25">
        <f>42-SUM(D25:P25)</f>
        <v/>
      </c>
      <c r="R25">
        <f>A25&amp;"|"&amp;B25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5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12" customWidth="1" min="18" max="18"/>
    <col hidden="1" width="13" customWidth="1" min="19" max="19"/>
  </cols>
  <sheetData>
    <row r="1">
      <c r="A1" s="1" t="inlineStr">
        <is>
          <t>persona type</t>
        </is>
      </c>
      <c r="B1" s="1" t="inlineStr">
        <is>
          <t>transcript number</t>
        </is>
      </c>
      <c r="C1" s="1" t="inlineStr">
        <is>
          <t>transcript</t>
        </is>
      </c>
      <c r="D1" s="1" t="inlineStr">
        <is>
          <t>grader name</t>
        </is>
      </c>
      <c r="E1" s="1" t="inlineStr">
        <is>
          <t>1.1.A</t>
        </is>
      </c>
      <c r="F1" s="1" t="inlineStr">
        <is>
          <t>1.1.B</t>
        </is>
      </c>
      <c r="G1" s="1" t="inlineStr">
        <is>
          <t>1.1.C</t>
        </is>
      </c>
      <c r="H1" s="1" t="inlineStr">
        <is>
          <t>1.2.A</t>
        </is>
      </c>
      <c r="I1" s="1" t="inlineStr">
        <is>
          <t>1.2.B</t>
        </is>
      </c>
      <c r="J1" s="1" t="inlineStr">
        <is>
          <t>1.3.A</t>
        </is>
      </c>
      <c r="K1" s="1" t="inlineStr">
        <is>
          <t>1.3.B</t>
        </is>
      </c>
      <c r="L1" s="1" t="inlineStr">
        <is>
          <t>2.1.A</t>
        </is>
      </c>
      <c r="M1" s="1" t="inlineStr">
        <is>
          <t>2.2.A</t>
        </is>
      </c>
      <c r="N1" s="1" t="inlineStr">
        <is>
          <t>2.2.B</t>
        </is>
      </c>
      <c r="O1" s="1" t="inlineStr">
        <is>
          <t>3.1.A</t>
        </is>
      </c>
      <c r="P1" s="1" t="inlineStr">
        <is>
          <t>3.2.A</t>
        </is>
      </c>
      <c r="Q1" s="1" t="inlineStr">
        <is>
          <t>3.2.B</t>
        </is>
      </c>
      <c r="R1" s="1" t="inlineStr">
        <is>
          <t>total score</t>
        </is>
      </c>
      <c r="S1" t="inlineStr">
        <is>
          <t>_key</t>
        </is>
      </c>
    </row>
    <row r="2">
      <c r="A2" t="inlineStr">
        <is>
          <t>chaotic</t>
        </is>
      </c>
      <c r="B2" t="inlineStr">
        <is>
          <t>0001</t>
        </is>
      </c>
      <c r="C2" t="inlineStr">
        <is>
          <t>transcripts/chaotic/chaotic_raw/transcript_0001.json</t>
        </is>
      </c>
      <c r="D2" t="inlineStr">
        <is>
          <t>faizan</t>
        </is>
      </c>
      <c r="R2">
        <f>42-SUM(E2:Q2)</f>
        <v/>
      </c>
      <c r="S2">
        <f>A2&amp;"|"&amp;B2</f>
        <v/>
      </c>
    </row>
    <row r="3">
      <c r="A3" t="inlineStr">
        <is>
          <t>chaotic</t>
        </is>
      </c>
      <c r="B3" t="inlineStr">
        <is>
          <t>0002</t>
        </is>
      </c>
      <c r="C3" t="inlineStr">
        <is>
          <t>transcripts/chaotic/chaotic_raw/transcript_0002.json</t>
        </is>
      </c>
      <c r="D3" t="inlineStr">
        <is>
          <t>faizan</t>
        </is>
      </c>
      <c r="R3">
        <f>42-SUM(E3:Q3)</f>
        <v/>
      </c>
      <c r="S3">
        <f>A3&amp;"|"&amp;B3</f>
        <v/>
      </c>
    </row>
    <row r="4">
      <c r="A4" t="inlineStr">
        <is>
          <t>clueless</t>
        </is>
      </c>
      <c r="B4" t="inlineStr">
        <is>
          <t>0001</t>
        </is>
      </c>
      <c r="C4" t="inlineStr">
        <is>
          <t>transcripts/clueless/clueless_raw/transcript_0001.json</t>
        </is>
      </c>
      <c r="D4" t="inlineStr">
        <is>
          <t>faizan</t>
        </is>
      </c>
      <c r="R4">
        <f>42-SUM(E4:Q4)</f>
        <v/>
      </c>
      <c r="S4">
        <f>A4&amp;"|"&amp;B4</f>
        <v/>
      </c>
    </row>
    <row r="5">
      <c r="A5" t="inlineStr">
        <is>
          <t>clueless</t>
        </is>
      </c>
      <c r="B5" t="inlineStr">
        <is>
          <t>0002</t>
        </is>
      </c>
      <c r="C5" t="inlineStr">
        <is>
          <t>transcripts/clueless/clueless_raw/transcript_0002.json</t>
        </is>
      </c>
      <c r="D5" t="inlineStr">
        <is>
          <t>faizan</t>
        </is>
      </c>
      <c r="R5">
        <f>42-SUM(E5:Q5)</f>
        <v/>
      </c>
      <c r="S5">
        <f>A5&amp;"|"&amp;B5</f>
        <v/>
      </c>
    </row>
    <row r="6">
      <c r="A6" t="inlineStr">
        <is>
          <t>cooperative</t>
        </is>
      </c>
      <c r="B6" t="inlineStr">
        <is>
          <t>0001</t>
        </is>
      </c>
      <c r="C6" t="inlineStr">
        <is>
          <t>transcripts/cooperative/cooperative_raw/transcript_0001.json</t>
        </is>
      </c>
      <c r="D6" t="inlineStr">
        <is>
          <t>faizan</t>
        </is>
      </c>
      <c r="R6">
        <f>42-SUM(E6:Q6)</f>
        <v/>
      </c>
      <c r="S6">
        <f>A6&amp;"|"&amp;B6</f>
        <v/>
      </c>
    </row>
    <row r="7">
      <c r="A7" t="inlineStr">
        <is>
          <t>cooperative</t>
        </is>
      </c>
      <c r="B7" t="inlineStr">
        <is>
          <t>0002</t>
        </is>
      </c>
      <c r="C7" t="inlineStr">
        <is>
          <t>transcripts/cooperative/cooperative_raw/transcript_0002.json</t>
        </is>
      </c>
      <c r="D7" t="inlineStr">
        <is>
          <t>faizan</t>
        </is>
      </c>
      <c r="R7">
        <f>42-SUM(E7:Q7)</f>
        <v/>
      </c>
      <c r="S7">
        <f>A7&amp;"|"&amp;B7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5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12" customWidth="1" min="18" max="18"/>
    <col hidden="1" width="13" customWidth="1" min="19" max="19"/>
  </cols>
  <sheetData>
    <row r="1">
      <c r="A1" s="1" t="inlineStr">
        <is>
          <t>persona type</t>
        </is>
      </c>
      <c r="B1" s="1" t="inlineStr">
        <is>
          <t>transcript number</t>
        </is>
      </c>
      <c r="C1" s="1" t="inlineStr">
        <is>
          <t>transcript</t>
        </is>
      </c>
      <c r="D1" s="1" t="inlineStr">
        <is>
          <t>grader name</t>
        </is>
      </c>
      <c r="E1" s="1" t="inlineStr">
        <is>
          <t>1.1.A</t>
        </is>
      </c>
      <c r="F1" s="1" t="inlineStr">
        <is>
          <t>1.1.B</t>
        </is>
      </c>
      <c r="G1" s="1" t="inlineStr">
        <is>
          <t>1.1.C</t>
        </is>
      </c>
      <c r="H1" s="1" t="inlineStr">
        <is>
          <t>1.2.A</t>
        </is>
      </c>
      <c r="I1" s="1" t="inlineStr">
        <is>
          <t>1.2.B</t>
        </is>
      </c>
      <c r="J1" s="1" t="inlineStr">
        <is>
          <t>1.3.A</t>
        </is>
      </c>
      <c r="K1" s="1" t="inlineStr">
        <is>
          <t>1.3.B</t>
        </is>
      </c>
      <c r="L1" s="1" t="inlineStr">
        <is>
          <t>2.1.A</t>
        </is>
      </c>
      <c r="M1" s="1" t="inlineStr">
        <is>
          <t>2.2.A</t>
        </is>
      </c>
      <c r="N1" s="1" t="inlineStr">
        <is>
          <t>2.2.B</t>
        </is>
      </c>
      <c r="O1" s="1" t="inlineStr">
        <is>
          <t>3.1.A</t>
        </is>
      </c>
      <c r="P1" s="1" t="inlineStr">
        <is>
          <t>3.2.A</t>
        </is>
      </c>
      <c r="Q1" s="1" t="inlineStr">
        <is>
          <t>3.2.B</t>
        </is>
      </c>
      <c r="R1" s="1" t="inlineStr">
        <is>
          <t>total score</t>
        </is>
      </c>
      <c r="S1" t="inlineStr">
        <is>
          <t>_key</t>
        </is>
      </c>
    </row>
    <row r="2">
      <c r="A2" t="inlineStr">
        <is>
          <t>chaotic</t>
        </is>
      </c>
      <c r="B2" t="inlineStr">
        <is>
          <t>0001</t>
        </is>
      </c>
      <c r="C2" t="inlineStr">
        <is>
          <t>transcripts/chaotic/chaotic_raw/transcript_0001.json</t>
        </is>
      </c>
      <c r="D2" t="inlineStr">
        <is>
          <t>romain</t>
        </is>
      </c>
      <c r="R2">
        <f>42-SUM(E2:Q2)</f>
        <v/>
      </c>
      <c r="S2">
        <f>A2&amp;"|"&amp;B2</f>
        <v/>
      </c>
    </row>
    <row r="3">
      <c r="A3" t="inlineStr">
        <is>
          <t>chaotic</t>
        </is>
      </c>
      <c r="B3" t="inlineStr">
        <is>
          <t>0002</t>
        </is>
      </c>
      <c r="C3" t="inlineStr">
        <is>
          <t>transcripts/chaotic/chaotic_raw/transcript_0002.json</t>
        </is>
      </c>
      <c r="D3" t="inlineStr">
        <is>
          <t>romain</t>
        </is>
      </c>
      <c r="R3">
        <f>42-SUM(E3:Q3)</f>
        <v/>
      </c>
      <c r="S3">
        <f>A3&amp;"|"&amp;B3</f>
        <v/>
      </c>
    </row>
    <row r="4">
      <c r="A4" t="inlineStr">
        <is>
          <t>clueless</t>
        </is>
      </c>
      <c r="B4" t="inlineStr">
        <is>
          <t>0001</t>
        </is>
      </c>
      <c r="C4" t="inlineStr">
        <is>
          <t>transcripts/clueless/clueless_raw/transcript_0001.json</t>
        </is>
      </c>
      <c r="D4" t="inlineStr">
        <is>
          <t>romain</t>
        </is>
      </c>
      <c r="R4">
        <f>42-SUM(E4:Q4)</f>
        <v/>
      </c>
      <c r="S4">
        <f>A4&amp;"|"&amp;B4</f>
        <v/>
      </c>
    </row>
    <row r="5">
      <c r="A5" t="inlineStr">
        <is>
          <t>clueless</t>
        </is>
      </c>
      <c r="B5" t="inlineStr">
        <is>
          <t>0002</t>
        </is>
      </c>
      <c r="C5" t="inlineStr">
        <is>
          <t>transcripts/clueless/clueless_raw/transcript_0002.json</t>
        </is>
      </c>
      <c r="D5" t="inlineStr">
        <is>
          <t>romain</t>
        </is>
      </c>
      <c r="R5">
        <f>42-SUM(E5:Q5)</f>
        <v/>
      </c>
      <c r="S5">
        <f>A5&amp;"|"&amp;B5</f>
        <v/>
      </c>
    </row>
    <row r="6">
      <c r="A6" t="inlineStr">
        <is>
          <t>cooperative</t>
        </is>
      </c>
      <c r="B6" t="inlineStr">
        <is>
          <t>0001</t>
        </is>
      </c>
      <c r="C6" t="inlineStr">
        <is>
          <t>transcripts/cooperative/cooperative_raw/transcript_0001.json</t>
        </is>
      </c>
      <c r="D6" t="inlineStr">
        <is>
          <t>romain</t>
        </is>
      </c>
      <c r="R6">
        <f>42-SUM(E6:Q6)</f>
        <v/>
      </c>
      <c r="S6">
        <f>A6&amp;"|"&amp;B6</f>
        <v/>
      </c>
    </row>
    <row r="7">
      <c r="A7" t="inlineStr">
        <is>
          <t>cooperative</t>
        </is>
      </c>
      <c r="B7" t="inlineStr">
        <is>
          <t>0002</t>
        </is>
      </c>
      <c r="C7" t="inlineStr">
        <is>
          <t>transcripts/cooperative/cooperative_raw/transcript_0002.json</t>
        </is>
      </c>
      <c r="D7" t="inlineStr">
        <is>
          <t>romain</t>
        </is>
      </c>
      <c r="R7">
        <f>42-SUM(E7:Q7)</f>
        <v/>
      </c>
      <c r="S7">
        <f>A7&amp;"|"&amp;B7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5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12" customWidth="1" min="18" max="18"/>
    <col hidden="1" width="13" customWidth="1" min="19" max="19"/>
  </cols>
  <sheetData>
    <row r="1">
      <c r="A1" s="1" t="inlineStr">
        <is>
          <t>persona type</t>
        </is>
      </c>
      <c r="B1" s="1" t="inlineStr">
        <is>
          <t>transcript number</t>
        </is>
      </c>
      <c r="C1" s="1" t="inlineStr">
        <is>
          <t>transcript</t>
        </is>
      </c>
      <c r="D1" s="1" t="inlineStr">
        <is>
          <t>grader name</t>
        </is>
      </c>
      <c r="E1" s="1" t="inlineStr">
        <is>
          <t>1.1.A</t>
        </is>
      </c>
      <c r="F1" s="1" t="inlineStr">
        <is>
          <t>1.1.B</t>
        </is>
      </c>
      <c r="G1" s="1" t="inlineStr">
        <is>
          <t>1.1.C</t>
        </is>
      </c>
      <c r="H1" s="1" t="inlineStr">
        <is>
          <t>1.2.A</t>
        </is>
      </c>
      <c r="I1" s="1" t="inlineStr">
        <is>
          <t>1.2.B</t>
        </is>
      </c>
      <c r="J1" s="1" t="inlineStr">
        <is>
          <t>1.3.A</t>
        </is>
      </c>
      <c r="K1" s="1" t="inlineStr">
        <is>
          <t>1.3.B</t>
        </is>
      </c>
      <c r="L1" s="1" t="inlineStr">
        <is>
          <t>2.1.A</t>
        </is>
      </c>
      <c r="M1" s="1" t="inlineStr">
        <is>
          <t>2.2.A</t>
        </is>
      </c>
      <c r="N1" s="1" t="inlineStr">
        <is>
          <t>2.2.B</t>
        </is>
      </c>
      <c r="O1" s="1" t="inlineStr">
        <is>
          <t>3.1.A</t>
        </is>
      </c>
      <c r="P1" s="1" t="inlineStr">
        <is>
          <t>3.2.A</t>
        </is>
      </c>
      <c r="Q1" s="1" t="inlineStr">
        <is>
          <t>3.2.B</t>
        </is>
      </c>
      <c r="R1" s="1" t="inlineStr">
        <is>
          <t>total score</t>
        </is>
      </c>
      <c r="S1" t="inlineStr">
        <is>
          <t>_key</t>
        </is>
      </c>
    </row>
    <row r="2">
      <c r="A2" t="inlineStr">
        <is>
          <t>chaotic</t>
        </is>
      </c>
      <c r="B2" t="inlineStr">
        <is>
          <t>0001</t>
        </is>
      </c>
      <c r="C2" t="inlineStr">
        <is>
          <t>transcripts/chaotic/chaotic_raw/transcript_0001.json</t>
        </is>
      </c>
      <c r="D2" t="inlineStr">
        <is>
          <t>nishita</t>
        </is>
      </c>
      <c r="R2">
        <f>42-SUM(E2:Q2)</f>
        <v/>
      </c>
      <c r="S2">
        <f>A2&amp;"|"&amp;B2</f>
        <v/>
      </c>
    </row>
    <row r="3">
      <c r="A3" t="inlineStr">
        <is>
          <t>chaotic</t>
        </is>
      </c>
      <c r="B3" t="inlineStr">
        <is>
          <t>0002</t>
        </is>
      </c>
      <c r="C3" t="inlineStr">
        <is>
          <t>transcripts/chaotic/chaotic_raw/transcript_0002.json</t>
        </is>
      </c>
      <c r="D3" t="inlineStr">
        <is>
          <t>nishita</t>
        </is>
      </c>
      <c r="R3">
        <f>42-SUM(E3:Q3)</f>
        <v/>
      </c>
      <c r="S3">
        <f>A3&amp;"|"&amp;B3</f>
        <v/>
      </c>
    </row>
    <row r="4">
      <c r="A4" t="inlineStr">
        <is>
          <t>clueless</t>
        </is>
      </c>
      <c r="B4" t="inlineStr">
        <is>
          <t>0001</t>
        </is>
      </c>
      <c r="C4" t="inlineStr">
        <is>
          <t>transcripts/clueless/clueless_raw/transcript_0001.json</t>
        </is>
      </c>
      <c r="D4" t="inlineStr">
        <is>
          <t>nishita</t>
        </is>
      </c>
      <c r="R4">
        <f>42-SUM(E4:Q4)</f>
        <v/>
      </c>
      <c r="S4">
        <f>A4&amp;"|"&amp;B4</f>
        <v/>
      </c>
    </row>
    <row r="5">
      <c r="A5" t="inlineStr">
        <is>
          <t>clueless</t>
        </is>
      </c>
      <c r="B5" t="inlineStr">
        <is>
          <t>0002</t>
        </is>
      </c>
      <c r="C5" t="inlineStr">
        <is>
          <t>transcripts/clueless/clueless_raw/transcript_0002.json</t>
        </is>
      </c>
      <c r="D5" t="inlineStr">
        <is>
          <t>nishita</t>
        </is>
      </c>
      <c r="R5">
        <f>42-SUM(E5:Q5)</f>
        <v/>
      </c>
      <c r="S5">
        <f>A5&amp;"|"&amp;B5</f>
        <v/>
      </c>
    </row>
    <row r="6">
      <c r="A6" t="inlineStr">
        <is>
          <t>cooperative</t>
        </is>
      </c>
      <c r="B6" t="inlineStr">
        <is>
          <t>0001</t>
        </is>
      </c>
      <c r="C6" t="inlineStr">
        <is>
          <t>transcripts/cooperative/cooperative_raw/transcript_0001.json</t>
        </is>
      </c>
      <c r="D6" t="inlineStr">
        <is>
          <t>nishita</t>
        </is>
      </c>
      <c r="R6">
        <f>42-SUM(E6:Q6)</f>
        <v/>
      </c>
      <c r="S6">
        <f>A6&amp;"|"&amp;B6</f>
        <v/>
      </c>
    </row>
    <row r="7">
      <c r="A7" t="inlineStr">
        <is>
          <t>cooperative</t>
        </is>
      </c>
      <c r="B7" t="inlineStr">
        <is>
          <t>0002</t>
        </is>
      </c>
      <c r="C7" t="inlineStr">
        <is>
          <t>transcripts/cooperative/cooperative_raw/transcript_0002.json</t>
        </is>
      </c>
      <c r="D7" t="inlineStr">
        <is>
          <t>nishita</t>
        </is>
      </c>
      <c r="R7">
        <f>42-SUM(E7:Q7)</f>
        <v/>
      </c>
      <c r="S7">
        <f>A7&amp;"|"&amp;B7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2026-04-07T21:48:45Z</dcterms:created>
  <dcterms:modified xsi:type="dcterms:W3CDTF">2026-04-07T21:48:45Z</dcterms:modified>
</cp:coreProperties>
</file>